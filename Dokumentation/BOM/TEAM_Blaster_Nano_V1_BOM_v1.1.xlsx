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<sst xmlns="http://schemas.openxmlformats.org/spreadsheetml/2006/main" count="272" uniqueCount="191">
  <si>
    <t xml:space="preserve">T.E.A.M. Blaster Nano V1  —  Bill of Materials (aus KiCad Schematic)</t>
  </si>
  <si>
    <t xml:space="preserve">Rev. 1.1  |  Datum: 2026-04-17  |  MCU: ATmega328P-AU (TQFP-32) + CH340G  |  Autor: T.E.A.M. - for your fandom</t>
  </si>
  <si>
    <t xml:space="preserve">Ref</t>
  </si>
  <si>
    <t xml:space="preserve">Wert / Typ</t>
  </si>
  <si>
    <t xml:space="preserve">Menge</t>
  </si>
  <si>
    <t xml:space="preserve">Hersteller</t>
  </si>
  <si>
    <t xml:space="preserve">Bestellnummer (Beispiel)</t>
  </si>
  <si>
    <t xml:space="preserve">Footprint</t>
  </si>
  <si>
    <t xml:space="preserve">Package</t>
  </si>
  <si>
    <t xml:space="preserve">Preis/Stk (€)</t>
  </si>
  <si>
    <t xml:space="preserve">Gesamt (€)</t>
  </si>
  <si>
    <t xml:space="preserve">Funktion / Bemerkung</t>
  </si>
  <si>
    <t xml:space="preserve">USB-Ladeschaltung (TP4056 ESOP-8)</t>
  </si>
  <si>
    <t xml:space="preserve">U1</t>
  </si>
  <si>
    <t xml:space="preserve">TP4056-42-ESOP8</t>
  </si>
  <si>
    <t xml:space="preserve">NanJing Top Power</t>
  </si>
  <si>
    <t xml:space="preserve">TP4056-42-ESOP8 (LCSC: C16581)</t>
  </si>
  <si>
    <t xml:space="preserve">SOIC-8_3.9x4.9mm_P1.27mm</t>
  </si>
  <si>
    <t xml:space="preserve">ESOP-8</t>
  </si>
  <si>
    <t xml:space="preserve">LiPo-Lader 4,2 V; CC/CV; Thermoschutz</t>
  </si>
  <si>
    <t xml:space="preserve">J1</t>
  </si>
  <si>
    <t xml:space="preserve">USB-C Buchse 14P</t>
  </si>
  <si>
    <t xml:space="preserve">GCT</t>
  </si>
  <si>
    <t xml:space="preserve">USB4085-GF-A</t>
  </si>
  <si>
    <t xml:space="preserve">USB_C_Receptacle_GCT_USB4085</t>
  </si>
  <si>
    <t xml:space="preserve">SMD 14-Pin</t>
  </si>
  <si>
    <t xml:space="preserve">Ladeeingang 5 V USB</t>
  </si>
  <si>
    <t xml:space="preserve">R3</t>
  </si>
  <si>
    <t xml:space="preserve">2k4</t>
  </si>
  <si>
    <t xml:space="preserve">Yageo</t>
  </si>
  <si>
    <t xml:space="preserve">RC0402FR-072K4L</t>
  </si>
  <si>
    <t xml:space="preserve">R_0402_1005Metric</t>
  </si>
  <si>
    <t xml:space="preserve">0402</t>
  </si>
  <si>
    <t xml:space="preserve">RPROG → I_CHG = 1200/2,4 = 500 mA</t>
  </si>
  <si>
    <t xml:space="preserve">R10, R11</t>
  </si>
  <si>
    <t xml:space="preserve">5k1</t>
  </si>
  <si>
    <t xml:space="preserve">RC0402FR-075K1L</t>
  </si>
  <si>
    <t xml:space="preserve">USB-C CC1/CC2 Pull-down (5,1 kΩ je)</t>
  </si>
  <si>
    <t xml:space="preserve">D1</t>
  </si>
  <si>
    <t xml:space="preserve">LED rot</t>
  </si>
  <si>
    <t xml:space="preserve">Würth</t>
  </si>
  <si>
    <t xml:space="preserve">150080RS75000</t>
  </si>
  <si>
    <t xml:space="preserve">LED_0805_2012Metric</t>
  </si>
  <si>
    <t xml:space="preserve">0805</t>
  </si>
  <si>
    <t xml:space="preserve">Charging-Status (TP4056 Pin CHRG)</t>
  </si>
  <si>
    <t xml:space="preserve">D2</t>
  </si>
  <si>
    <t xml:space="preserve">LED blau</t>
  </si>
  <si>
    <t xml:space="preserve">150080BS75000</t>
  </si>
  <si>
    <t xml:space="preserve">Standby/Full-Status (TP4056 Pin STDBY)</t>
  </si>
  <si>
    <t xml:space="preserve">R1</t>
  </si>
  <si>
    <t xml:space="preserve">1k  (LED CHG)</t>
  </si>
  <si>
    <t xml:space="preserve">RC0402FR-071KL</t>
  </si>
  <si>
    <t xml:space="preserve">Strombegrenzung D1</t>
  </si>
  <si>
    <t xml:space="preserve">R2</t>
  </si>
  <si>
    <t xml:space="preserve">1k  (LED STDBY)</t>
  </si>
  <si>
    <t xml:space="preserve">Strombegrenzung D2</t>
  </si>
  <si>
    <t xml:space="preserve">C1</t>
  </si>
  <si>
    <t xml:space="preserve">10 µF / 10 V</t>
  </si>
  <si>
    <t xml:space="preserve">Murata</t>
  </si>
  <si>
    <t xml:space="preserve">GRM21BR61A106KE19L</t>
  </si>
  <si>
    <t xml:space="preserve">C_0805_2012Metric</t>
  </si>
  <si>
    <t xml:space="preserve">TP4056 VCC-Bypass</t>
  </si>
  <si>
    <t xml:space="preserve">Batterieschutz (DW01A + FS8205A)</t>
  </si>
  <si>
    <t xml:space="preserve">U2</t>
  </si>
  <si>
    <t xml:space="preserve">DW01A</t>
  </si>
  <si>
    <t xml:space="preserve">Fortune Semi</t>
  </si>
  <si>
    <t xml:space="preserve">DW01A-G</t>
  </si>
  <si>
    <t xml:space="preserve">SOT-23-6</t>
  </si>
  <si>
    <t xml:space="preserve">Über-/Unterspannungs- &amp; Überstromschutz LiPo</t>
  </si>
  <si>
    <t xml:space="preserve">Q1</t>
  </si>
  <si>
    <t xml:space="preserve">FS8205A</t>
  </si>
  <si>
    <t xml:space="preserve">Dual N-Ch MOSFET; Lade-/Entlade-Schalter</t>
  </si>
  <si>
    <t xml:space="preserve">R4</t>
  </si>
  <si>
    <t xml:space="preserve">0,47 Ω</t>
  </si>
  <si>
    <t xml:space="preserve">RC0402FR-070R47L</t>
  </si>
  <si>
    <t xml:space="preserve">Strommess-Shunt (CS-Pin DW01A)</t>
  </si>
  <si>
    <t xml:space="preserve">R5</t>
  </si>
  <si>
    <t xml:space="preserve">470 Ω</t>
  </si>
  <si>
    <t xml:space="preserve">RC0402FR-07470RL</t>
  </si>
  <si>
    <t xml:space="preserve">ESD-Schutz VCC-Pin DW01A</t>
  </si>
  <si>
    <t xml:space="preserve">J2</t>
  </si>
  <si>
    <t xml:space="preserve">JST XH 2-Pin (Batterie)</t>
  </si>
  <si>
    <t xml:space="preserve">JST</t>
  </si>
  <si>
    <t xml:space="preserve">B2B-XH-A</t>
  </si>
  <si>
    <t xml:space="preserve">JST_XH_B2B-XH-A_1x02_P2.50mm_Vertical</t>
  </si>
  <si>
    <t xml:space="preserve">THT</t>
  </si>
  <si>
    <t xml:space="preserve">LiPo-Akkuanschluss 3,7 V</t>
  </si>
  <si>
    <t xml:space="preserve">Spannungsbooster 3,7 V → ~4,6 V (MT3608)</t>
  </si>
  <si>
    <t xml:space="preserve">U3</t>
  </si>
  <si>
    <t xml:space="preserve">MT3608</t>
  </si>
  <si>
    <t xml:space="preserve">Aerosemi</t>
  </si>
  <si>
    <t xml:space="preserve">MT3608 (LCSC: C84697)</t>
  </si>
  <si>
    <t xml:space="preserve">Step-Up; Vout=0,6×(1+R7/R8)=0,6×7,67≈4,6 V</t>
  </si>
  <si>
    <t xml:space="preserve">L1, L2</t>
  </si>
  <si>
    <t xml:space="preserve">10 µH / 1,5 A</t>
  </si>
  <si>
    <t xml:space="preserve">744043010</t>
  </si>
  <si>
    <t xml:space="preserve">L_0805_2012Metric</t>
  </si>
  <si>
    <t xml:space="preserve">Boost-Spulen parallel → höhere Stromtragfähigkeit</t>
  </si>
  <si>
    <t xml:space="preserve">D3</t>
  </si>
  <si>
    <t xml:space="preserve">SS14</t>
  </si>
  <si>
    <t xml:space="preserve">Vishay</t>
  </si>
  <si>
    <t xml:space="preserve">SS14-E3/61T</t>
  </si>
  <si>
    <t xml:space="preserve">D_SMA</t>
  </si>
  <si>
    <t xml:space="preserve">SMA (DO-214AC)</t>
  </si>
  <si>
    <t xml:space="preserve">Freilaufdiode MT3608; 40 V / 1 A</t>
  </si>
  <si>
    <t xml:space="preserve">C4</t>
  </si>
  <si>
    <t xml:space="preserve">22 µF / 16 V</t>
  </si>
  <si>
    <t xml:space="preserve">GRM21BR61C226ME44L</t>
  </si>
  <si>
    <t xml:space="preserve">MT3608 Eingangs-Puffer</t>
  </si>
  <si>
    <t xml:space="preserve">C5</t>
  </si>
  <si>
    <t xml:space="preserve">MT3608 Ausgangs-Glättung</t>
  </si>
  <si>
    <t xml:space="preserve">R7</t>
  </si>
  <si>
    <t xml:space="preserve">180 kΩ</t>
  </si>
  <si>
    <t xml:space="preserve">RC0402FR-07180KL</t>
  </si>
  <si>
    <t xml:space="preserve">Feedback-Teiler oben (Vout einstellen)</t>
  </si>
  <si>
    <t xml:space="preserve">R8</t>
  </si>
  <si>
    <t xml:space="preserve">27 kΩ</t>
  </si>
  <si>
    <t xml:space="preserve">RC0402FR-0727KL</t>
  </si>
  <si>
    <t xml:space="preserve">Feedback-Teiler unten</t>
  </si>
  <si>
    <t xml:space="preserve">Mikrocontroller ATmega328P-AU + CH340G</t>
  </si>
  <si>
    <t xml:space="preserve">U4</t>
  </si>
  <si>
    <t xml:space="preserve">ATmega328P-AU</t>
  </si>
  <si>
    <t xml:space="preserve">Microchip</t>
  </si>
  <si>
    <t xml:space="preserve">ATMEGA328P-AU</t>
  </si>
  <si>
    <t xml:space="preserve">TQFP-32_7x7mm_P0.8mm</t>
  </si>
  <si>
    <t xml:space="preserve">TQFP-32</t>
  </si>
  <si>
    <t xml:space="preserve">Haupt-MCU; 16 MHz; 5 V; Arduino-kompatibel</t>
  </si>
  <si>
    <t xml:space="preserve">U5</t>
  </si>
  <si>
    <t xml:space="preserve">CH340G</t>
  </si>
  <si>
    <t xml:space="preserve">WCH</t>
  </si>
  <si>
    <t xml:space="preserve">SOIC-16_3.9x9.9mm_P1.27mm</t>
  </si>
  <si>
    <t xml:space="preserve">SOIC-16</t>
  </si>
  <si>
    <t xml:space="preserve">USB-Seriell-Brücke für Programmierung</t>
  </si>
  <si>
    <t xml:space="preserve">Y1</t>
  </si>
  <si>
    <t xml:space="preserve">16 MHz</t>
  </si>
  <si>
    <t xml:space="preserve">ABRACON</t>
  </si>
  <si>
    <t xml:space="preserve">ABM3-16.000MHZ-D2Y-T</t>
  </si>
  <si>
    <t xml:space="preserve">Crystal_SMD_3225-4Pin_3.2x2.5mm</t>
  </si>
  <si>
    <t xml:space="preserve">SMD 3225</t>
  </si>
  <si>
    <t xml:space="preserve">Takt ATmega328P</t>
  </si>
  <si>
    <t xml:space="preserve">Y2</t>
  </si>
  <si>
    <t xml:space="preserve">12 MHz</t>
  </si>
  <si>
    <t xml:space="preserve">ABM3-12.000MHZ-D2Y-T</t>
  </si>
  <si>
    <t xml:space="preserve">Takt CH340G</t>
  </si>
  <si>
    <t xml:space="preserve">C11, C12</t>
  </si>
  <si>
    <t xml:space="preserve">22 pF / 50 V</t>
  </si>
  <si>
    <t xml:space="preserve">Samsung</t>
  </si>
  <si>
    <t xml:space="preserve">CL05C220JB5NNNC</t>
  </si>
  <si>
    <t xml:space="preserve">C_0402_1005Metric</t>
  </si>
  <si>
    <t xml:space="preserve">Load-Caps Y1 (ATmega)</t>
  </si>
  <si>
    <t xml:space="preserve">C13, C14</t>
  </si>
  <si>
    <t xml:space="preserve">Load-Caps Y2 (CH340G)</t>
  </si>
  <si>
    <t xml:space="preserve">C2, C8</t>
  </si>
  <si>
    <t xml:space="preserve">VCC-Bypass MCU / CH340G</t>
  </si>
  <si>
    <t xml:space="preserve">C3,C6,C7,C9,C10,C15,C16</t>
  </si>
  <si>
    <t xml:space="preserve">100 nF / 10 V</t>
  </si>
  <si>
    <t xml:space="preserve">CL05B104KO5NNNC</t>
  </si>
  <si>
    <t xml:space="preserve">Entkopplungs-Caps (verteilt auf alle ICs)</t>
  </si>
  <si>
    <t xml:space="preserve">R9</t>
  </si>
  <si>
    <t xml:space="preserve">10 kΩ</t>
  </si>
  <si>
    <t xml:space="preserve">RC0402FR-0710KL</t>
  </si>
  <si>
    <t xml:space="preserve">RESET Pull-up ATmega328P</t>
  </si>
  <si>
    <t xml:space="preserve">J6</t>
  </si>
  <si>
    <t xml:space="preserve">ISP 2×3 Pfostenleiste</t>
  </si>
  <si>
    <t xml:space="preserve">61300621121</t>
  </si>
  <si>
    <t xml:space="preserve">PinHeader_2x03_P2.54mm_Vertical</t>
  </si>
  <si>
    <t xml:space="preserve">THT 2,54 mm</t>
  </si>
  <si>
    <t xml:space="preserve">In-System-Programmierung (MOSI/MISO/SCK/RST)</t>
  </si>
  <si>
    <t xml:space="preserve">Audio (DFPlayer Mini DFR0299)</t>
  </si>
  <si>
    <t xml:space="preserve">U6</t>
  </si>
  <si>
    <t xml:space="preserve">DFR0299 DFPlayer Mini</t>
  </si>
  <si>
    <t xml:space="preserve">DFRobot</t>
  </si>
  <si>
    <t xml:space="preserve">DFR0299</t>
  </si>
  <si>
    <t xml:space="preserve">MODULE_DFR0299 (Custom)</t>
  </si>
  <si>
    <t xml:space="preserve">Modul</t>
  </si>
  <si>
    <t xml:space="preserve">MP3/WAV; UART 9600; interner SD-Kartenleser</t>
  </si>
  <si>
    <t xml:space="preserve">R6</t>
  </si>
  <si>
    <t xml:space="preserve">1 kΩ  (UART-RX)</t>
  </si>
  <si>
    <t xml:space="preserve">Pegelschutz ATmega TX → DFPlayer RX</t>
  </si>
  <si>
    <t xml:space="preserve">J3</t>
  </si>
  <si>
    <t xml:space="preserve">JST XH 2-Pin (LED)</t>
  </si>
  <si>
    <t xml:space="preserve">Externer Blaster-LED-Anschluss</t>
  </si>
  <si>
    <t xml:space="preserve">J4</t>
  </si>
  <si>
    <t xml:space="preserve">JST XH 2-Pin (Taster)</t>
  </si>
  <si>
    <t xml:space="preserve">Trigger-Taster extern; Pin D3</t>
  </si>
  <si>
    <t xml:space="preserve">J5</t>
  </si>
  <si>
    <t xml:space="preserve">JST XH 2-Pin (Speaker)</t>
  </si>
  <si>
    <t xml:space="preserve">Lautsprecher 8 Ω an DFPlayer SPK1/SPK2</t>
  </si>
  <si>
    <t xml:space="preserve">GESAMTKOSTEN (Einzelplatine, ohne Akku &amp; Lautsprecher)</t>
  </si>
  <si>
    <t xml:space="preserve">Ohne MwSt. / ohne Versand / Richtpreise</t>
  </si>
  <si>
    <t xml:space="preserve">⚠  Hinweise:  R3=2k4 → I_CHG=500 mA (TP4056).  L1+L2 je 10 µH parallel → erhöhte Stromtragfähigkeit.  Vout(MT3608) = 0,6×(1+180k/27k) ≈ 4,6 V.  Q1 (FS8205A) hat SOT-23-6 Footprint laut CSV (nicht TSSOP-8).  Y2=12 MHz ist der Takt für den CH340G USB-Seriell-Chip.  R10/R11 = 5k1 sind USB-C CC-Pull-downs (Pflicht für USB-C Power).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</si>
</sst>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A3A5C"/>
      <name val="Arial"/>
      <family val="0"/>
      <charset val="1"/>
    </font>
    <font>
      <b val="true"/>
      <sz val="12"/>
      <color rgb="FF1A3A5C"/>
      <name val="Arial"/>
      <family val="0"/>
      <charset val="1"/>
    </font>
    <font>
      <i val="true"/>
      <sz val="8"/>
      <color rgb="FF44444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FF8E1"/>
      </patternFill>
    </fill>
    <fill>
      <patternFill patternType="solid">
        <fgColor rgb="FFEBF3FB"/>
        <bgColor rgb="FFD9E8F5"/>
      </patternFill>
    </fill>
    <fill>
      <patternFill patternType="solid">
        <fgColor rgb="FFD9E8F5"/>
        <bgColor rgb="FFEBF3FB"/>
      </patternFill>
    </fill>
    <fill>
      <patternFill patternType="solid">
        <fgColor rgb="FFFFF8E1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1A3A5C"/>
      </left>
      <right/>
      <top style="medium">
        <color rgb="FF1A3A5C"/>
      </top>
      <bottom style="thin">
        <color rgb="FFAAAAAA"/>
      </bottom>
      <diagonal/>
    </border>
    <border diagonalUp="false" diagonalDown="false">
      <left style="medium">
        <color rgb="FF1A3A5C"/>
      </left>
      <right/>
      <top style="medium">
        <color rgb="FF1A3A5C"/>
      </top>
      <bottom style="medium">
        <color rgb="FF1A3A5C"/>
      </bottom>
      <diagonal/>
    </border>
    <border diagonalUp="false" diagonalDown="false">
      <left style="thin">
        <color rgb="FFAAAAAA"/>
      </left>
      <right style="medium">
        <color rgb="FF1A3A5C"/>
      </right>
      <top style="medium">
        <color rgb="FF1A3A5C"/>
      </top>
      <bottom style="medium">
        <color rgb="FF1A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E1"/>
      <rgbColor rgb="FFD9E8F5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A3A5C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9" min="8" style="0" width="11"/>
    <col collapsed="false" customWidth="true" hidden="false" outlineLevel="0" max="10" min="10" style="0" width="4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8" hidden="false" customHeight="true" outlineLevel="0" collapsed="false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A6" s="5" t="s">
        <v>13</v>
      </c>
      <c r="B6" s="5" t="s">
        <v>14</v>
      </c>
      <c r="C6" s="6" t="n">
        <v>1</v>
      </c>
      <c r="D6" s="5" t="s">
        <v>15</v>
      </c>
      <c r="E6" s="5" t="s">
        <v>16</v>
      </c>
      <c r="F6" s="5" t="s">
        <v>17</v>
      </c>
      <c r="G6" s="6" t="s">
        <v>18</v>
      </c>
      <c r="H6" s="7" t="n">
        <v>0.25</v>
      </c>
      <c r="I6" s="7" t="n">
        <f aca="false">C6*H6</f>
        <v>0.25</v>
      </c>
      <c r="J6" s="5" t="s">
        <v>19</v>
      </c>
    </row>
    <row r="7" customFormat="false" ht="15" hidden="false" customHeight="true" outlineLevel="0" collapsed="false">
      <c r="A7" s="8" t="s">
        <v>20</v>
      </c>
      <c r="B7" s="8" t="s">
        <v>21</v>
      </c>
      <c r="C7" s="9" t="n">
        <v>1</v>
      </c>
      <c r="D7" s="8" t="s">
        <v>22</v>
      </c>
      <c r="E7" s="8" t="s">
        <v>23</v>
      </c>
      <c r="F7" s="8" t="s">
        <v>24</v>
      </c>
      <c r="G7" s="9" t="s">
        <v>25</v>
      </c>
      <c r="H7" s="10" t="n">
        <v>0.55</v>
      </c>
      <c r="I7" s="10" t="n">
        <f aca="false">C7*H7</f>
        <v>0.55</v>
      </c>
      <c r="J7" s="8" t="s">
        <v>26</v>
      </c>
    </row>
    <row r="8" customFormat="false" ht="15" hidden="false" customHeight="true" outlineLevel="0" collapsed="false">
      <c r="A8" s="5" t="s">
        <v>27</v>
      </c>
      <c r="B8" s="5" t="s">
        <v>28</v>
      </c>
      <c r="C8" s="6" t="n">
        <v>1</v>
      </c>
      <c r="D8" s="5" t="s">
        <v>29</v>
      </c>
      <c r="E8" s="5" t="s">
        <v>30</v>
      </c>
      <c r="F8" s="5" t="s">
        <v>31</v>
      </c>
      <c r="G8" s="6" t="s">
        <v>32</v>
      </c>
      <c r="H8" s="7" t="n">
        <v>0.02</v>
      </c>
      <c r="I8" s="7" t="n">
        <f aca="false">C8*H8</f>
        <v>0.02</v>
      </c>
      <c r="J8" s="5" t="s">
        <v>33</v>
      </c>
    </row>
    <row r="9" customFormat="false" ht="15" hidden="false" customHeight="true" outlineLevel="0" collapsed="false">
      <c r="A9" s="8" t="s">
        <v>34</v>
      </c>
      <c r="B9" s="8" t="s">
        <v>35</v>
      </c>
      <c r="C9" s="9" t="n">
        <v>2</v>
      </c>
      <c r="D9" s="8" t="s">
        <v>29</v>
      </c>
      <c r="E9" s="8" t="s">
        <v>36</v>
      </c>
      <c r="F9" s="8" t="s">
        <v>31</v>
      </c>
      <c r="G9" s="9" t="s">
        <v>32</v>
      </c>
      <c r="H9" s="10" t="n">
        <v>0.02</v>
      </c>
      <c r="I9" s="10" t="n">
        <f aca="false">C9*H9</f>
        <v>0.04</v>
      </c>
      <c r="J9" s="8" t="s">
        <v>37</v>
      </c>
    </row>
    <row r="10" customFormat="false" ht="15" hidden="false" customHeight="true" outlineLevel="0" collapsed="false">
      <c r="A10" s="5" t="s">
        <v>38</v>
      </c>
      <c r="B10" s="5" t="s">
        <v>39</v>
      </c>
      <c r="C10" s="6" t="n">
        <v>1</v>
      </c>
      <c r="D10" s="5" t="s">
        <v>40</v>
      </c>
      <c r="E10" s="5" t="s">
        <v>41</v>
      </c>
      <c r="F10" s="5" t="s">
        <v>42</v>
      </c>
      <c r="G10" s="6" t="s">
        <v>43</v>
      </c>
      <c r="H10" s="7" t="n">
        <v>0.05</v>
      </c>
      <c r="I10" s="7" t="n">
        <f aca="false">C10*H10</f>
        <v>0.05</v>
      </c>
      <c r="J10" s="5" t="s">
        <v>44</v>
      </c>
    </row>
    <row r="11" customFormat="false" ht="15" hidden="false" customHeight="true" outlineLevel="0" collapsed="false">
      <c r="A11" s="8" t="s">
        <v>45</v>
      </c>
      <c r="B11" s="8" t="s">
        <v>46</v>
      </c>
      <c r="C11" s="9" t="n">
        <v>1</v>
      </c>
      <c r="D11" s="8" t="s">
        <v>40</v>
      </c>
      <c r="E11" s="8" t="s">
        <v>47</v>
      </c>
      <c r="F11" s="8" t="s">
        <v>42</v>
      </c>
      <c r="G11" s="9" t="s">
        <v>43</v>
      </c>
      <c r="H11" s="10" t="n">
        <v>0.06</v>
      </c>
      <c r="I11" s="10" t="n">
        <f aca="false">C11*H11</f>
        <v>0.06</v>
      </c>
      <c r="J11" s="8" t="s">
        <v>48</v>
      </c>
    </row>
    <row r="12" customFormat="false" ht="15" hidden="false" customHeight="true" outlineLevel="0" collapsed="false">
      <c r="A12" s="5" t="s">
        <v>49</v>
      </c>
      <c r="B12" s="5" t="s">
        <v>50</v>
      </c>
      <c r="C12" s="6" t="n">
        <v>1</v>
      </c>
      <c r="D12" s="5" t="s">
        <v>29</v>
      </c>
      <c r="E12" s="5" t="s">
        <v>51</v>
      </c>
      <c r="F12" s="5" t="s">
        <v>31</v>
      </c>
      <c r="G12" s="6" t="s">
        <v>32</v>
      </c>
      <c r="H12" s="7" t="n">
        <v>0.02</v>
      </c>
      <c r="I12" s="7" t="n">
        <f aca="false">C12*H12</f>
        <v>0.02</v>
      </c>
      <c r="J12" s="5" t="s">
        <v>52</v>
      </c>
    </row>
    <row r="13" customFormat="false" ht="15" hidden="false" customHeight="true" outlineLevel="0" collapsed="false">
      <c r="A13" s="8" t="s">
        <v>53</v>
      </c>
      <c r="B13" s="8" t="s">
        <v>54</v>
      </c>
      <c r="C13" s="9" t="n">
        <v>1</v>
      </c>
      <c r="D13" s="8" t="s">
        <v>29</v>
      </c>
      <c r="E13" s="8" t="s">
        <v>51</v>
      </c>
      <c r="F13" s="8" t="s">
        <v>31</v>
      </c>
      <c r="G13" s="9" t="s">
        <v>32</v>
      </c>
      <c r="H13" s="10" t="n">
        <v>0.02</v>
      </c>
      <c r="I13" s="10" t="n">
        <f aca="false">C13*H13</f>
        <v>0.02</v>
      </c>
      <c r="J13" s="8" t="s">
        <v>55</v>
      </c>
    </row>
    <row r="14" customFormat="false" ht="15" hidden="false" customHeight="true" outlineLevel="0" collapsed="false">
      <c r="A14" s="5" t="s">
        <v>56</v>
      </c>
      <c r="B14" s="5" t="s">
        <v>57</v>
      </c>
      <c r="C14" s="6" t="n">
        <v>1</v>
      </c>
      <c r="D14" s="5" t="s">
        <v>58</v>
      </c>
      <c r="E14" s="5" t="s">
        <v>59</v>
      </c>
      <c r="F14" s="5" t="s">
        <v>60</v>
      </c>
      <c r="G14" s="6" t="s">
        <v>43</v>
      </c>
      <c r="H14" s="7" t="n">
        <v>0.08</v>
      </c>
      <c r="I14" s="7" t="n">
        <f aca="false">C14*H14</f>
        <v>0.08</v>
      </c>
      <c r="J14" s="5" t="s">
        <v>61</v>
      </c>
    </row>
    <row r="15" customFormat="false" ht="18" hidden="false" customHeight="true" outlineLevel="0" collapsed="false">
      <c r="A15" s="4" t="s">
        <v>62</v>
      </c>
      <c r="B15" s="4"/>
      <c r="C15" s="4"/>
      <c r="D15" s="4"/>
      <c r="E15" s="4"/>
      <c r="F15" s="4"/>
      <c r="G15" s="4"/>
      <c r="H15" s="4"/>
      <c r="I15" s="4"/>
      <c r="J15" s="4"/>
    </row>
    <row r="16" customFormat="false" ht="15" hidden="false" customHeight="true" outlineLevel="0" collapsed="false">
      <c r="A16" s="5" t="s">
        <v>63</v>
      </c>
      <c r="B16" s="5" t="s">
        <v>64</v>
      </c>
      <c r="C16" s="6" t="n">
        <v>1</v>
      </c>
      <c r="D16" s="5" t="s">
        <v>65</v>
      </c>
      <c r="E16" s="5" t="s">
        <v>66</v>
      </c>
      <c r="F16" s="5" t="s">
        <v>67</v>
      </c>
      <c r="G16" s="6" t="s">
        <v>67</v>
      </c>
      <c r="H16" s="7" t="n">
        <v>0.12</v>
      </c>
      <c r="I16" s="7" t="n">
        <f aca="false">C16*H16</f>
        <v>0.12</v>
      </c>
      <c r="J16" s="5" t="s">
        <v>68</v>
      </c>
    </row>
    <row r="17" customFormat="false" ht="15" hidden="false" customHeight="true" outlineLevel="0" collapsed="false">
      <c r="A17" s="8" t="s">
        <v>69</v>
      </c>
      <c r="B17" s="8" t="s">
        <v>70</v>
      </c>
      <c r="C17" s="9" t="n">
        <v>1</v>
      </c>
      <c r="D17" s="8" t="s">
        <v>65</v>
      </c>
      <c r="E17" s="8" t="s">
        <v>70</v>
      </c>
      <c r="F17" s="8" t="s">
        <v>67</v>
      </c>
      <c r="G17" s="9" t="s">
        <v>67</v>
      </c>
      <c r="H17" s="10" t="n">
        <v>0.18</v>
      </c>
      <c r="I17" s="10" t="n">
        <f aca="false">C17*H17</f>
        <v>0.18</v>
      </c>
      <c r="J17" s="8" t="s">
        <v>71</v>
      </c>
    </row>
    <row r="18" customFormat="false" ht="15" hidden="false" customHeight="true" outlineLevel="0" collapsed="false">
      <c r="A18" s="5" t="s">
        <v>72</v>
      </c>
      <c r="B18" s="5" t="s">
        <v>73</v>
      </c>
      <c r="C18" s="6" t="n">
        <v>1</v>
      </c>
      <c r="D18" s="5" t="s">
        <v>29</v>
      </c>
      <c r="E18" s="5" t="s">
        <v>74</v>
      </c>
      <c r="F18" s="5" t="s">
        <v>31</v>
      </c>
      <c r="G18" s="6" t="s">
        <v>32</v>
      </c>
      <c r="H18" s="7" t="n">
        <v>0.03</v>
      </c>
      <c r="I18" s="7" t="n">
        <f aca="false">C18*H18</f>
        <v>0.03</v>
      </c>
      <c r="J18" s="5" t="s">
        <v>75</v>
      </c>
    </row>
    <row r="19" customFormat="false" ht="15" hidden="false" customHeight="true" outlineLevel="0" collapsed="false">
      <c r="A19" s="8" t="s">
        <v>76</v>
      </c>
      <c r="B19" s="8" t="s">
        <v>77</v>
      </c>
      <c r="C19" s="9" t="n">
        <v>1</v>
      </c>
      <c r="D19" s="8" t="s">
        <v>29</v>
      </c>
      <c r="E19" s="8" t="s">
        <v>78</v>
      </c>
      <c r="F19" s="8" t="s">
        <v>31</v>
      </c>
      <c r="G19" s="9" t="s">
        <v>32</v>
      </c>
      <c r="H19" s="10" t="n">
        <v>0.02</v>
      </c>
      <c r="I19" s="10" t="n">
        <f aca="false">C19*H19</f>
        <v>0.02</v>
      </c>
      <c r="J19" s="8" t="s">
        <v>79</v>
      </c>
    </row>
    <row r="20" customFormat="false" ht="15" hidden="false" customHeight="true" outlineLevel="0" collapsed="false">
      <c r="A20" s="5" t="s">
        <v>80</v>
      </c>
      <c r="B20" s="5" t="s">
        <v>81</v>
      </c>
      <c r="C20" s="6" t="n">
        <v>1</v>
      </c>
      <c r="D20" s="5" t="s">
        <v>82</v>
      </c>
      <c r="E20" s="5" t="s">
        <v>83</v>
      </c>
      <c r="F20" s="5" t="s">
        <v>84</v>
      </c>
      <c r="G20" s="6" t="s">
        <v>85</v>
      </c>
      <c r="H20" s="7" t="n">
        <v>0.2</v>
      </c>
      <c r="I20" s="7" t="n">
        <f aca="false">C20*H20</f>
        <v>0.2</v>
      </c>
      <c r="J20" s="5" t="s">
        <v>86</v>
      </c>
    </row>
    <row r="21" customFormat="false" ht="18" hidden="false" customHeight="true" outlineLevel="0" collapsed="false">
      <c r="A21" s="4" t="s">
        <v>87</v>
      </c>
      <c r="B21" s="4"/>
      <c r="C21" s="4"/>
      <c r="D21" s="4"/>
      <c r="E21" s="4"/>
      <c r="F21" s="4"/>
      <c r="G21" s="4"/>
      <c r="H21" s="4"/>
      <c r="I21" s="4"/>
      <c r="J21" s="4"/>
    </row>
    <row r="22" customFormat="false" ht="15" hidden="false" customHeight="true" outlineLevel="0" collapsed="false">
      <c r="A22" s="5" t="s">
        <v>88</v>
      </c>
      <c r="B22" s="5" t="s">
        <v>89</v>
      </c>
      <c r="C22" s="6" t="n">
        <v>1</v>
      </c>
      <c r="D22" s="5" t="s">
        <v>90</v>
      </c>
      <c r="E22" s="5" t="s">
        <v>91</v>
      </c>
      <c r="F22" s="5" t="s">
        <v>67</v>
      </c>
      <c r="G22" s="6" t="s">
        <v>67</v>
      </c>
      <c r="H22" s="7" t="n">
        <v>0.2</v>
      </c>
      <c r="I22" s="7" t="n">
        <f aca="false">C22*H22</f>
        <v>0.2</v>
      </c>
      <c r="J22" s="5" t="s">
        <v>92</v>
      </c>
    </row>
    <row r="23" customFormat="false" ht="15" hidden="false" customHeight="true" outlineLevel="0" collapsed="false">
      <c r="A23" s="8" t="s">
        <v>93</v>
      </c>
      <c r="B23" s="8" t="s">
        <v>94</v>
      </c>
      <c r="C23" s="9" t="n">
        <v>2</v>
      </c>
      <c r="D23" s="8" t="s">
        <v>40</v>
      </c>
      <c r="E23" s="8" t="s">
        <v>95</v>
      </c>
      <c r="F23" s="8" t="s">
        <v>96</v>
      </c>
      <c r="G23" s="9" t="s">
        <v>43</v>
      </c>
      <c r="H23" s="10" t="n">
        <v>0.28</v>
      </c>
      <c r="I23" s="10" t="n">
        <f aca="false">C23*H23</f>
        <v>0.56</v>
      </c>
      <c r="J23" s="8" t="s">
        <v>97</v>
      </c>
    </row>
    <row r="24" customFormat="false" ht="15" hidden="false" customHeight="true" outlineLevel="0" collapsed="false">
      <c r="A24" s="5" t="s">
        <v>98</v>
      </c>
      <c r="B24" s="5" t="s">
        <v>99</v>
      </c>
      <c r="C24" s="6" t="n">
        <v>1</v>
      </c>
      <c r="D24" s="5" t="s">
        <v>100</v>
      </c>
      <c r="E24" s="5" t="s">
        <v>101</v>
      </c>
      <c r="F24" s="5" t="s">
        <v>102</v>
      </c>
      <c r="G24" s="6" t="s">
        <v>103</v>
      </c>
      <c r="H24" s="7" t="n">
        <v>0.1</v>
      </c>
      <c r="I24" s="7" t="n">
        <f aca="false">C24*H24</f>
        <v>0.1</v>
      </c>
      <c r="J24" s="5" t="s">
        <v>104</v>
      </c>
    </row>
    <row r="25" customFormat="false" ht="15" hidden="false" customHeight="true" outlineLevel="0" collapsed="false">
      <c r="A25" s="8" t="s">
        <v>105</v>
      </c>
      <c r="B25" s="8" t="s">
        <v>106</v>
      </c>
      <c r="C25" s="9" t="n">
        <v>1</v>
      </c>
      <c r="D25" s="8" t="s">
        <v>58</v>
      </c>
      <c r="E25" s="8" t="s">
        <v>107</v>
      </c>
      <c r="F25" s="8" t="s">
        <v>60</v>
      </c>
      <c r="G25" s="9" t="s">
        <v>43</v>
      </c>
      <c r="H25" s="10" t="n">
        <v>0.12</v>
      </c>
      <c r="I25" s="10" t="n">
        <f aca="false">C25*H25</f>
        <v>0.12</v>
      </c>
      <c r="J25" s="8" t="s">
        <v>108</v>
      </c>
    </row>
    <row r="26" customFormat="false" ht="15" hidden="false" customHeight="true" outlineLevel="0" collapsed="false">
      <c r="A26" s="5" t="s">
        <v>109</v>
      </c>
      <c r="B26" s="5" t="s">
        <v>106</v>
      </c>
      <c r="C26" s="6" t="n">
        <v>1</v>
      </c>
      <c r="D26" s="5" t="s">
        <v>58</v>
      </c>
      <c r="E26" s="5" t="s">
        <v>107</v>
      </c>
      <c r="F26" s="5" t="s">
        <v>60</v>
      </c>
      <c r="G26" s="6" t="s">
        <v>43</v>
      </c>
      <c r="H26" s="7" t="n">
        <v>0.12</v>
      </c>
      <c r="I26" s="7" t="n">
        <f aca="false">C26*H26</f>
        <v>0.12</v>
      </c>
      <c r="J26" s="5" t="s">
        <v>110</v>
      </c>
    </row>
    <row r="27" customFormat="false" ht="15" hidden="false" customHeight="true" outlineLevel="0" collapsed="false">
      <c r="A27" s="8" t="s">
        <v>111</v>
      </c>
      <c r="B27" s="8" t="s">
        <v>112</v>
      </c>
      <c r="C27" s="9" t="n">
        <v>1</v>
      </c>
      <c r="D27" s="8" t="s">
        <v>29</v>
      </c>
      <c r="E27" s="8" t="s">
        <v>113</v>
      </c>
      <c r="F27" s="8" t="s">
        <v>31</v>
      </c>
      <c r="G27" s="9" t="s">
        <v>32</v>
      </c>
      <c r="H27" s="10" t="n">
        <v>0.02</v>
      </c>
      <c r="I27" s="10" t="n">
        <f aca="false">C27*H27</f>
        <v>0.02</v>
      </c>
      <c r="J27" s="8" t="s">
        <v>114</v>
      </c>
    </row>
    <row r="28" customFormat="false" ht="15" hidden="false" customHeight="true" outlineLevel="0" collapsed="false">
      <c r="A28" s="5" t="s">
        <v>115</v>
      </c>
      <c r="B28" s="5" t="s">
        <v>116</v>
      </c>
      <c r="C28" s="6" t="n">
        <v>1</v>
      </c>
      <c r="D28" s="5" t="s">
        <v>29</v>
      </c>
      <c r="E28" s="5" t="s">
        <v>117</v>
      </c>
      <c r="F28" s="5" t="s">
        <v>31</v>
      </c>
      <c r="G28" s="6" t="s">
        <v>32</v>
      </c>
      <c r="H28" s="7" t="n">
        <v>0.02</v>
      </c>
      <c r="I28" s="7" t="n">
        <f aca="false">C28*H28</f>
        <v>0.02</v>
      </c>
      <c r="J28" s="5" t="s">
        <v>118</v>
      </c>
    </row>
    <row r="29" customFormat="false" ht="18" hidden="false" customHeight="true" outlineLevel="0" collapsed="false">
      <c r="A29" s="4" t="s">
        <v>119</v>
      </c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true" outlineLevel="0" collapsed="false">
      <c r="A30" s="5" t="s">
        <v>120</v>
      </c>
      <c r="B30" s="5" t="s">
        <v>121</v>
      </c>
      <c r="C30" s="6" t="n">
        <v>1</v>
      </c>
      <c r="D30" s="5" t="s">
        <v>122</v>
      </c>
      <c r="E30" s="5" t="s">
        <v>123</v>
      </c>
      <c r="F30" s="5" t="s">
        <v>124</v>
      </c>
      <c r="G30" s="6" t="s">
        <v>125</v>
      </c>
      <c r="H30" s="7" t="n">
        <v>1.8</v>
      </c>
      <c r="I30" s="7" t="n">
        <f aca="false">C30*H30</f>
        <v>1.8</v>
      </c>
      <c r="J30" s="5" t="s">
        <v>126</v>
      </c>
    </row>
    <row r="31" customFormat="false" ht="15" hidden="false" customHeight="true" outlineLevel="0" collapsed="false">
      <c r="A31" s="8" t="s">
        <v>127</v>
      </c>
      <c r="B31" s="8" t="s">
        <v>128</v>
      </c>
      <c r="C31" s="9" t="n">
        <v>1</v>
      </c>
      <c r="D31" s="8" t="s">
        <v>129</v>
      </c>
      <c r="E31" s="8" t="s">
        <v>128</v>
      </c>
      <c r="F31" s="8" t="s">
        <v>130</v>
      </c>
      <c r="G31" s="9" t="s">
        <v>131</v>
      </c>
      <c r="H31" s="10" t="n">
        <v>0.35</v>
      </c>
      <c r="I31" s="10" t="n">
        <f aca="false">C31*H31</f>
        <v>0.35</v>
      </c>
      <c r="J31" s="8" t="s">
        <v>132</v>
      </c>
    </row>
    <row r="32" customFormat="false" ht="15" hidden="false" customHeight="true" outlineLevel="0" collapsed="false">
      <c r="A32" s="5" t="s">
        <v>133</v>
      </c>
      <c r="B32" s="5" t="s">
        <v>134</v>
      </c>
      <c r="C32" s="6" t="n">
        <v>1</v>
      </c>
      <c r="D32" s="5" t="s">
        <v>135</v>
      </c>
      <c r="E32" s="5" t="s">
        <v>136</v>
      </c>
      <c r="F32" s="5" t="s">
        <v>137</v>
      </c>
      <c r="G32" s="6" t="s">
        <v>138</v>
      </c>
      <c r="H32" s="7" t="n">
        <v>0.35</v>
      </c>
      <c r="I32" s="7" t="n">
        <f aca="false">C32*H32</f>
        <v>0.35</v>
      </c>
      <c r="J32" s="5" t="s">
        <v>139</v>
      </c>
    </row>
    <row r="33" customFormat="false" ht="15" hidden="false" customHeight="true" outlineLevel="0" collapsed="false">
      <c r="A33" s="8" t="s">
        <v>140</v>
      </c>
      <c r="B33" s="8" t="s">
        <v>141</v>
      </c>
      <c r="C33" s="9" t="n">
        <v>1</v>
      </c>
      <c r="D33" s="8" t="s">
        <v>135</v>
      </c>
      <c r="E33" s="8" t="s">
        <v>142</v>
      </c>
      <c r="F33" s="8" t="s">
        <v>137</v>
      </c>
      <c r="G33" s="9" t="s">
        <v>138</v>
      </c>
      <c r="H33" s="10" t="n">
        <v>0.35</v>
      </c>
      <c r="I33" s="10" t="n">
        <f aca="false">C33*H33</f>
        <v>0.35</v>
      </c>
      <c r="J33" s="8" t="s">
        <v>143</v>
      </c>
    </row>
    <row r="34" customFormat="false" ht="15" hidden="false" customHeight="true" outlineLevel="0" collapsed="false">
      <c r="A34" s="5" t="s">
        <v>144</v>
      </c>
      <c r="B34" s="5" t="s">
        <v>145</v>
      </c>
      <c r="C34" s="6" t="n">
        <v>2</v>
      </c>
      <c r="D34" s="5" t="s">
        <v>146</v>
      </c>
      <c r="E34" s="5" t="s">
        <v>147</v>
      </c>
      <c r="F34" s="5" t="s">
        <v>148</v>
      </c>
      <c r="G34" s="6" t="s">
        <v>32</v>
      </c>
      <c r="H34" s="7" t="n">
        <v>0.03</v>
      </c>
      <c r="I34" s="7" t="n">
        <f aca="false">C34*H34</f>
        <v>0.06</v>
      </c>
      <c r="J34" s="5" t="s">
        <v>149</v>
      </c>
    </row>
    <row r="35" customFormat="false" ht="15" hidden="false" customHeight="true" outlineLevel="0" collapsed="false">
      <c r="A35" s="8" t="s">
        <v>150</v>
      </c>
      <c r="B35" s="8" t="s">
        <v>145</v>
      </c>
      <c r="C35" s="9" t="n">
        <v>2</v>
      </c>
      <c r="D35" s="8" t="s">
        <v>146</v>
      </c>
      <c r="E35" s="8" t="s">
        <v>147</v>
      </c>
      <c r="F35" s="8" t="s">
        <v>148</v>
      </c>
      <c r="G35" s="9" t="s">
        <v>32</v>
      </c>
      <c r="H35" s="10" t="n">
        <v>0.03</v>
      </c>
      <c r="I35" s="10" t="n">
        <f aca="false">C35*H35</f>
        <v>0.06</v>
      </c>
      <c r="J35" s="8" t="s">
        <v>151</v>
      </c>
    </row>
    <row r="36" customFormat="false" ht="15" hidden="false" customHeight="true" outlineLevel="0" collapsed="false">
      <c r="A36" s="5" t="s">
        <v>152</v>
      </c>
      <c r="B36" s="5" t="s">
        <v>57</v>
      </c>
      <c r="C36" s="6" t="n">
        <v>2</v>
      </c>
      <c r="D36" s="5" t="s">
        <v>58</v>
      </c>
      <c r="E36" s="5" t="s">
        <v>59</v>
      </c>
      <c r="F36" s="5" t="s">
        <v>60</v>
      </c>
      <c r="G36" s="6" t="s">
        <v>43</v>
      </c>
      <c r="H36" s="7" t="n">
        <v>0.08</v>
      </c>
      <c r="I36" s="7" t="n">
        <f aca="false">C36*H36</f>
        <v>0.16</v>
      </c>
      <c r="J36" s="5" t="s">
        <v>153</v>
      </c>
    </row>
    <row r="37" customFormat="false" ht="15" hidden="false" customHeight="true" outlineLevel="0" collapsed="false">
      <c r="A37" s="8" t="s">
        <v>154</v>
      </c>
      <c r="B37" s="8" t="s">
        <v>155</v>
      </c>
      <c r="C37" s="9" t="n">
        <v>7</v>
      </c>
      <c r="D37" s="8" t="s">
        <v>146</v>
      </c>
      <c r="E37" s="8" t="s">
        <v>156</v>
      </c>
      <c r="F37" s="8" t="s">
        <v>148</v>
      </c>
      <c r="G37" s="9" t="s">
        <v>32</v>
      </c>
      <c r="H37" s="10" t="n">
        <v>0.03</v>
      </c>
      <c r="I37" s="10" t="n">
        <f aca="false">C37*H37</f>
        <v>0.21</v>
      </c>
      <c r="J37" s="8" t="s">
        <v>157</v>
      </c>
    </row>
    <row r="38" customFormat="false" ht="15" hidden="false" customHeight="true" outlineLevel="0" collapsed="false">
      <c r="A38" s="5" t="s">
        <v>158</v>
      </c>
      <c r="B38" s="5" t="s">
        <v>159</v>
      </c>
      <c r="C38" s="6" t="n">
        <v>1</v>
      </c>
      <c r="D38" s="5" t="s">
        <v>29</v>
      </c>
      <c r="E38" s="5" t="s">
        <v>160</v>
      </c>
      <c r="F38" s="5" t="s">
        <v>31</v>
      </c>
      <c r="G38" s="6" t="s">
        <v>32</v>
      </c>
      <c r="H38" s="7" t="n">
        <v>0.02</v>
      </c>
      <c r="I38" s="7" t="n">
        <f aca="false">C38*H38</f>
        <v>0.02</v>
      </c>
      <c r="J38" s="5" t="s">
        <v>161</v>
      </c>
    </row>
    <row r="39" customFormat="false" ht="15" hidden="false" customHeight="true" outlineLevel="0" collapsed="false">
      <c r="A39" s="8" t="s">
        <v>162</v>
      </c>
      <c r="B39" s="8" t="s">
        <v>163</v>
      </c>
      <c r="C39" s="9" t="n">
        <v>1</v>
      </c>
      <c r="D39" s="8" t="s">
        <v>40</v>
      </c>
      <c r="E39" s="8" t="s">
        <v>164</v>
      </c>
      <c r="F39" s="8" t="s">
        <v>165</v>
      </c>
      <c r="G39" s="9" t="s">
        <v>166</v>
      </c>
      <c r="H39" s="10" t="n">
        <v>0.15</v>
      </c>
      <c r="I39" s="10" t="n">
        <f aca="false">C39*H39</f>
        <v>0.15</v>
      </c>
      <c r="J39" s="8" t="s">
        <v>167</v>
      </c>
    </row>
    <row r="40" customFormat="false" ht="18" hidden="false" customHeight="true" outlineLevel="0" collapsed="false">
      <c r="A40" s="4" t="s">
        <v>168</v>
      </c>
      <c r="B40" s="4"/>
      <c r="C40" s="4"/>
      <c r="D40" s="4"/>
      <c r="E40" s="4"/>
      <c r="F40" s="4"/>
      <c r="G40" s="4"/>
      <c r="H40" s="4"/>
      <c r="I40" s="4"/>
      <c r="J40" s="4"/>
    </row>
    <row r="41" customFormat="false" ht="15" hidden="false" customHeight="true" outlineLevel="0" collapsed="false">
      <c r="A41" s="8" t="s">
        <v>169</v>
      </c>
      <c r="B41" s="8" t="s">
        <v>170</v>
      </c>
      <c r="C41" s="9" t="n">
        <v>1</v>
      </c>
      <c r="D41" s="8" t="s">
        <v>171</v>
      </c>
      <c r="E41" s="8" t="s">
        <v>172</v>
      </c>
      <c r="F41" s="8" t="s">
        <v>173</v>
      </c>
      <c r="G41" s="9" t="s">
        <v>174</v>
      </c>
      <c r="H41" s="10" t="n">
        <v>2.8</v>
      </c>
      <c r="I41" s="10" t="n">
        <f aca="false">C41*H41</f>
        <v>2.8</v>
      </c>
      <c r="J41" s="8" t="s">
        <v>175</v>
      </c>
    </row>
    <row r="42" customFormat="false" ht="15" hidden="false" customHeight="true" outlineLevel="0" collapsed="false">
      <c r="A42" s="5" t="s">
        <v>176</v>
      </c>
      <c r="B42" s="5" t="s">
        <v>177</v>
      </c>
      <c r="C42" s="6" t="n">
        <v>1</v>
      </c>
      <c r="D42" s="5" t="s">
        <v>29</v>
      </c>
      <c r="E42" s="5" t="s">
        <v>51</v>
      </c>
      <c r="F42" s="5" t="s">
        <v>31</v>
      </c>
      <c r="G42" s="6" t="s">
        <v>32</v>
      </c>
      <c r="H42" s="7" t="n">
        <v>0.02</v>
      </c>
      <c r="I42" s="7" t="n">
        <f aca="false">C42*H42</f>
        <v>0.02</v>
      </c>
      <c r="J42" s="5" t="s">
        <v>178</v>
      </c>
    </row>
    <row r="43" customFormat="false" ht="15" hidden="false" customHeight="true" outlineLevel="0" collapsed="false">
      <c r="A43" s="8" t="s">
        <v>179</v>
      </c>
      <c r="B43" s="8" t="s">
        <v>180</v>
      </c>
      <c r="C43" s="9" t="n">
        <v>1</v>
      </c>
      <c r="D43" s="8" t="s">
        <v>82</v>
      </c>
      <c r="E43" s="8" t="s">
        <v>83</v>
      </c>
      <c r="F43" s="8" t="s">
        <v>84</v>
      </c>
      <c r="G43" s="9" t="s">
        <v>85</v>
      </c>
      <c r="H43" s="10" t="n">
        <v>0.2</v>
      </c>
      <c r="I43" s="10" t="n">
        <f aca="false">C43*H43</f>
        <v>0.2</v>
      </c>
      <c r="J43" s="8" t="s">
        <v>181</v>
      </c>
    </row>
    <row r="44" customFormat="false" ht="15" hidden="false" customHeight="true" outlineLevel="0" collapsed="false">
      <c r="A44" s="5" t="s">
        <v>182</v>
      </c>
      <c r="B44" s="5" t="s">
        <v>183</v>
      </c>
      <c r="C44" s="6" t="n">
        <v>1</v>
      </c>
      <c r="D44" s="5" t="s">
        <v>82</v>
      </c>
      <c r="E44" s="5" t="s">
        <v>83</v>
      </c>
      <c r="F44" s="5" t="s">
        <v>84</v>
      </c>
      <c r="G44" s="6" t="s">
        <v>85</v>
      </c>
      <c r="H44" s="7" t="n">
        <v>0.2</v>
      </c>
      <c r="I44" s="7" t="n">
        <f aca="false">C44*H44</f>
        <v>0.2</v>
      </c>
      <c r="J44" s="5" t="s">
        <v>184</v>
      </c>
    </row>
    <row r="45" customFormat="false" ht="15" hidden="false" customHeight="true" outlineLevel="0" collapsed="false">
      <c r="A45" s="8" t="s">
        <v>185</v>
      </c>
      <c r="B45" s="8" t="s">
        <v>186</v>
      </c>
      <c r="C45" s="9" t="n">
        <v>1</v>
      </c>
      <c r="D45" s="8" t="s">
        <v>82</v>
      </c>
      <c r="E45" s="8" t="s">
        <v>83</v>
      </c>
      <c r="F45" s="8" t="s">
        <v>84</v>
      </c>
      <c r="G45" s="9" t="s">
        <v>85</v>
      </c>
      <c r="H45" s="10" t="n">
        <v>0.2</v>
      </c>
      <c r="I45" s="10" t="n">
        <f aca="false">C45*H45</f>
        <v>0.2</v>
      </c>
      <c r="J45" s="8" t="s">
        <v>187</v>
      </c>
    </row>
    <row r="47" customFormat="false" ht="21.75" hidden="false" customHeight="true" outlineLevel="0" collapsed="false">
      <c r="A47" s="11" t="s">
        <v>188</v>
      </c>
      <c r="B47" s="11"/>
      <c r="C47" s="11"/>
      <c r="D47" s="11"/>
      <c r="E47" s="11"/>
      <c r="F47" s="11"/>
      <c r="G47" s="11"/>
      <c r="H47" s="11"/>
      <c r="I47" s="12" t="n">
        <f aca="false">I6+I7+I8+I9+I10+I11+I12+I13+I14+I16+I17+I18+I19+I20+I22+I23+I24+I25+I26+I27+I28+I30+I31+I32+I33+I34+I35+I36+I37+I38+I39+I41+I42+I43+I44+I45</f>
        <v>9.71</v>
      </c>
      <c r="J47" s="13" t="s">
        <v>189</v>
      </c>
    </row>
    <row r="49" customFormat="false" ht="36" hidden="false" customHeight="true" outlineLevel="0" collapsed="false">
      <c r="A49" s="14" t="s">
        <v>190</v>
      </c>
      <c r="B49" s="14"/>
      <c r="C49" s="14"/>
      <c r="D49" s="14"/>
      <c r="E49" s="14"/>
      <c r="F49" s="14"/>
      <c r="G49" s="14"/>
      <c r="H49" s="14"/>
      <c r="I49" s="14"/>
      <c r="J49" s="14"/>
    </row>
  </sheetData>
  <mergeCells count="9">
    <mergeCell ref="A1:L1"/>
    <mergeCell ref="A2:L2"/>
    <mergeCell ref="A5:J5"/>
    <mergeCell ref="A15:J15"/>
    <mergeCell ref="A21:J21"/>
    <mergeCell ref="A29:J29"/>
    <mergeCell ref="A40:J40"/>
    <mergeCell ref="A47:H47"/>
    <mergeCell ref="A49:J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2026-04-17T20:19:53Z</dcterms:created>
  <dc:creator>openpyxl</dc:creator>
  <dc:description/>
  <dc:language>en-US</dc:language>
  <cp:lastModifiedBy/>
  <dcterms:modified xsi:type="dcterms:W3CDTF">2026-04-17T20:19:53Z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